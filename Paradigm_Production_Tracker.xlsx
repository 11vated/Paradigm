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ssues" sheetId="2" state="visible" r:id="rId4"/>
    <sheet name="Sprint Plan" sheetId="3" state="visible" r:id="rId5"/>
  </sheets>
  <definedNames>
    <definedName function="false" hidden="true" localSheetId="1" name="_xlnm._FilterDatabase" vbProcedure="false">Issues!$A$1:$H$62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<sst xmlns="http://schemas.openxmlformats.org/spreadsheetml/2006/main" count="587" uniqueCount="303">
  <si>
    <t xml:space="preserve">PARADIGM GSPL ENGINE</t>
  </si>
  <si>
    <t xml:space="preserve">Production Readiness Tracker</t>
  </si>
  <si>
    <t xml:space="preserve">Current Score</t>
  </si>
  <si>
    <t xml:space="preserve">/ 100</t>
  </si>
  <si>
    <t xml:space="preserve">Category</t>
  </si>
  <si>
    <t xml:space="preserve">Max Pts</t>
  </si>
  <si>
    <t xml:space="preserve">Current</t>
  </si>
  <si>
    <t xml:space="preserve">Target</t>
  </si>
  <si>
    <t xml:space="preserve">Gap</t>
  </si>
  <si>
    <t xml:space="preserve">Security &amp; Auth</t>
  </si>
  <si>
    <t xml:space="preserve">Input Validation</t>
  </si>
  <si>
    <t xml:space="preserve">Error Handling</t>
  </si>
  <si>
    <t xml:space="preserve">Data Layer</t>
  </si>
  <si>
    <t xml:space="preserve">API Completeness</t>
  </si>
  <si>
    <t xml:space="preserve">Frontend Polish</t>
  </si>
  <si>
    <t xml:space="preserve">Testing</t>
  </si>
  <si>
    <t xml:space="preserve">DevOps &amp; Deploy</t>
  </si>
  <si>
    <t xml:space="preserve">Documentation</t>
  </si>
  <si>
    <t xml:space="preserve">Observability</t>
  </si>
  <si>
    <t xml:space="preserve">TOTAL</t>
  </si>
  <si>
    <t xml:space="preserve">ID</t>
  </si>
  <si>
    <t xml:space="preserve">Issue</t>
  </si>
  <si>
    <t xml:space="preserve">Priority</t>
  </si>
  <si>
    <t xml:space="preserve">Sprint</t>
  </si>
  <si>
    <t xml:space="preserve">Status</t>
  </si>
  <si>
    <t xml:space="preserve">File(s)</t>
  </si>
  <si>
    <t xml:space="preserve">Fix Description</t>
  </si>
  <si>
    <t xml:space="preserve">SEC-01</t>
  </si>
  <si>
    <t xml:space="preserve">No CORS middleware configured</t>
  </si>
  <si>
    <t xml:space="preserve">P0</t>
  </si>
  <si>
    <t xml:space="preserve">Sprint 1</t>
  </si>
  <si>
    <t xml:space="preserve">TODO</t>
  </si>
  <si>
    <t xml:space="preserve">server.ts</t>
  </si>
  <si>
    <t xml:space="preserve">Add cors package + app.use(cors({origin}))</t>
  </si>
  <si>
    <t xml:space="preserve">SEC-02</t>
  </si>
  <si>
    <t xml:space="preserve">No HTTPS/TLS enforcement</t>
  </si>
  <si>
    <t xml:space="preserve">server.ts, nginx.conf</t>
  </si>
  <si>
    <t xml:space="preserve">Add Helmet.js, enforce HTTPS redirect in nginx</t>
  </si>
  <si>
    <t xml:space="preserve">SEC-03</t>
  </si>
  <si>
    <t xml:space="preserve">Private keys accepted in request bodies</t>
  </si>
  <si>
    <t xml:space="preserve">server.ts L947,1066</t>
  </si>
  <si>
    <t xml:space="preserve">Move signing client-side, accept only signed payloads</t>
  </si>
  <si>
    <t xml:space="preserve">SEC-04</t>
  </si>
  <si>
    <t xml:space="preserve">/metrics endpoint is public</t>
  </si>
  <si>
    <t xml:space="preserve">Restrict /metrics to internal IPs or add bearer token</t>
  </si>
  <si>
    <t xml:space="preserve">SEC-05</t>
  </si>
  <si>
    <t xml:space="preserve">WebSocket has no authentication</t>
  </si>
  <si>
    <t xml:space="preserve">server.ts L1250</t>
  </si>
  <si>
    <t xml:space="preserve">Verify JWT during WebSocket upgrade handshake</t>
  </si>
  <si>
    <t xml:space="preserve">SEC-06</t>
  </si>
  <si>
    <t xml:space="preserve">JWT secret falls back to random value</t>
  </si>
  <si>
    <t xml:space="preserve">P1</t>
  </si>
  <si>
    <t xml:space="preserve">src/lib/auth/index.ts L13</t>
  </si>
  <si>
    <t xml:space="preserve">Throw error if JWT_SECRET missing in production</t>
  </si>
  <si>
    <t xml:space="preserve">SEC-07</t>
  </si>
  <si>
    <t xml:space="preserve">No refresh token rotation</t>
  </si>
  <si>
    <t xml:space="preserve">Sprint 2</t>
  </si>
  <si>
    <t xml:space="preserve">src/lib/auth/index.ts</t>
  </si>
  <si>
    <t xml:space="preserve">Implement short-lived access + long-lived refresh tokens</t>
  </si>
  <si>
    <t xml:space="preserve">SEC-08</t>
  </si>
  <si>
    <t xml:space="preserve">No session revocation / JWT blacklist</t>
  </si>
  <si>
    <t xml:space="preserve">src/lib/auth/</t>
  </si>
  <si>
    <t xml:space="preserve">Add Redis-backed token blacklist for logout</t>
  </si>
  <si>
    <t xml:space="preserve">SEC-09</t>
  </si>
  <si>
    <t xml:space="preserve">No role-based access control</t>
  </si>
  <si>
    <t xml:space="preserve">server.ts (all endpoints)</t>
  </si>
  <si>
    <t xml:space="preserve">Add requireAuth + requireRole middleware, enforce on all protected routes</t>
  </si>
  <si>
    <t xml:space="preserve">SEC-10</t>
  </si>
  <si>
    <t xml:space="preserve">Seed deletion has no auth check</t>
  </si>
  <si>
    <t xml:space="preserve">server.ts L373</t>
  </si>
  <si>
    <t xml:space="preserve">Wrap DELETE /api/seeds/:id with requireAuth + ownership</t>
  </si>
  <si>
    <t xml:space="preserve">SEC-11</t>
  </si>
  <si>
    <t xml:space="preserve">Rate limiter is in-memory only</t>
  </si>
  <si>
    <t xml:space="preserve">server.ts L159-189</t>
  </si>
  <si>
    <t xml:space="preserve">Replace with Redis-backed sliding window</t>
  </si>
  <si>
    <t xml:space="preserve">SEC-12</t>
  </si>
  <si>
    <t xml:space="preserve">No CSRF protection</t>
  </si>
  <si>
    <t xml:space="preserve">P2</t>
  </si>
  <si>
    <t xml:space="preserve">Sprint 3</t>
  </si>
  <si>
    <t xml:space="preserve">Add SameSite cookies or stateless CSRF tokens</t>
  </si>
  <si>
    <t xml:space="preserve">SEC-13</t>
  </si>
  <si>
    <t xml:space="preserve">MongoDB/Redis containers have no auth</t>
  </si>
  <si>
    <t xml:space="preserve">docker-compose.yml</t>
  </si>
  <si>
    <t xml:space="preserve">Add MONGO_INITDB_ROOT_PASSWORD, redis --requirepass</t>
  </si>
  <si>
    <t xml:space="preserve">SEC-14</t>
  </si>
  <si>
    <t xml:space="preserve">CSP allows unsafe-inline/unsafe-eval</t>
  </si>
  <si>
    <t xml:space="preserve">nginx.conf L24</t>
  </si>
  <si>
    <t xml:space="preserve">Switch to nonce-based CSP for production</t>
  </si>
  <si>
    <t xml:space="preserve">SEC-15</t>
  </si>
  <si>
    <t xml:space="preserve">Blockchain RPC URL not validated</t>
  </si>
  <si>
    <t xml:space="preserve">src/lib/sovereignty/onchain.ts</t>
  </si>
  <si>
    <t xml:space="preserve">Whitelist known Infura/Alchemy endpoints</t>
  </si>
  <si>
    <t xml:space="preserve">VAL-01</t>
  </si>
  <si>
    <t xml:space="preserve">POST /api/seeds — no body validation</t>
  </si>
  <si>
    <t xml:space="preserve">server.ts L336</t>
  </si>
  <si>
    <t xml:space="preserve">Add Zod schema: domain (enum 27), name (string max 255), genes (typed map)</t>
  </si>
  <si>
    <t xml:space="preserve">VAL-02</t>
  </si>
  <si>
    <t xml:space="preserve">POST /api/seeds/generate — no schema</t>
  </si>
  <si>
    <t xml:space="preserve">server.ts L385</t>
  </si>
  <si>
    <t xml:space="preserve">Add Zod: prompt (string max 2000), domain (enum)</t>
  </si>
  <si>
    <t xml:space="preserve">VAL-03</t>
  </si>
  <si>
    <t xml:space="preserve">POST /api/seeds/:id/mutate — rate unchecked</t>
  </si>
  <si>
    <t xml:space="preserve">server.ts L470</t>
  </si>
  <si>
    <t xml:space="preserve">Validate rate: z.number().min(0).max(1)</t>
  </si>
  <si>
    <t xml:space="preserve">VAL-04</t>
  </si>
  <si>
    <t xml:space="preserve">PUT /api/seeds/:id/genes — no validation</t>
  </si>
  <si>
    <t xml:space="preserve">server.ts L620</t>
  </si>
  <si>
    <t xml:space="preserve">Validate gene_name, gene_type (enum 17), value (type-specific)</t>
  </si>
  <si>
    <t xml:space="preserve">VAL-05</t>
  </si>
  <si>
    <t xml:space="preserve">POST /api/auth/register — weak username check</t>
  </si>
  <si>
    <t xml:space="preserve">server.ts L302</t>
  </si>
  <si>
    <t xml:space="preserve">Add: username min 3 / max 50 / alphanumeric, password min 8 + complexity</t>
  </si>
  <si>
    <t xml:space="preserve">VAL-06</t>
  </si>
  <si>
    <t xml:space="preserve">POST /api/agent/query — no length limit</t>
  </si>
  <si>
    <t xml:space="preserve">server.ts L1153</t>
  </si>
  <si>
    <t xml:space="preserve">Limit query to 5000 chars, sanitize</t>
  </si>
  <si>
    <t xml:space="preserve">VAL-07</t>
  </si>
  <si>
    <t xml:space="preserve">GET /api/seeds — no pagination</t>
  </si>
  <si>
    <t xml:space="preserve">server.ts L332</t>
  </si>
  <si>
    <t xml:space="preserve">Add ?limit=50&amp;offset=0, enforce max=1000</t>
  </si>
  <si>
    <t xml:space="preserve">VAL-08</t>
  </si>
  <si>
    <t xml:space="preserve">Frontend forms lack Zod validation</t>
  </si>
  <si>
    <t xml:space="preserve">src/pages/AuthPage.jsx, MintPanel</t>
  </si>
  <si>
    <t xml:space="preserve">Add Zod schemas for all frontend forms</t>
  </si>
  <si>
    <t xml:space="preserve">VAL-09</t>
  </si>
  <si>
    <t xml:space="preserve">Ethereum address not validated in MintPanel</t>
  </si>
  <si>
    <t xml:space="preserve">src/components/studio/MintPanel.jsx L122</t>
  </si>
  <si>
    <t xml:space="preserve">Validate 0x + 40 hex chars</t>
  </si>
  <si>
    <t xml:space="preserve">VAL-10</t>
  </si>
  <si>
    <t xml:space="preserve">Gene editor vector inputs accept any number</t>
  </si>
  <si>
    <t xml:space="preserve">src/components/studio/GeneEditor.jsx</t>
  </si>
  <si>
    <t xml:space="preserve">Add per-gene-type range validation</t>
  </si>
  <si>
    <t xml:space="preserve">ERR-01</t>
  </si>
  <si>
    <t xml:space="preserve">No React ErrorBoundary wrapping studio</t>
  </si>
  <si>
    <t xml:space="preserve">src/pages/StudioPage.jsx</t>
  </si>
  <si>
    <t xml:space="preserve">Add ErrorBoundary component, show recovery UI on crash</t>
  </si>
  <si>
    <t xml:space="preserve">ERR-02</t>
  </si>
  <si>
    <t xml:space="preserve">No WebGL fallback in PreviewViewport</t>
  </si>
  <si>
    <t xml:space="preserve">src/components/studio/PreviewViewport.jsx</t>
  </si>
  <si>
    <t xml:space="preserve">Detect WebGL support, show message if unavailable</t>
  </si>
  <si>
    <t xml:space="preserve">ERR-03</t>
  </si>
  <si>
    <t xml:space="preserve">Silent API failures — 12 console.error catches</t>
  </si>
  <si>
    <t xml:space="preserve">All studio components</t>
  </si>
  <si>
    <t xml:space="preserve">Replace console.error with toast notifications (sonner is installed)</t>
  </si>
  <si>
    <t xml:space="preserve">ERR-04</t>
  </si>
  <si>
    <t xml:space="preserve">No retry logic in API client</t>
  </si>
  <si>
    <t xml:space="preserve">src/services/api.jsx</t>
  </si>
  <si>
    <t xml:space="preserve">Add exponential backoff (3 retries, 1s/2s/4s)</t>
  </si>
  <si>
    <t xml:space="preserve">ERR-05</t>
  </si>
  <si>
    <t xml:space="preserve">No error state in seedStore</t>
  </si>
  <si>
    <t xml:space="preserve">src/stores/seedStore.jsx</t>
  </si>
  <si>
    <t xml:space="preserve">Add error field, propagate to UI</t>
  </si>
  <si>
    <t xml:space="preserve">ERR-06</t>
  </si>
  <si>
    <t xml:space="preserve">Missing security event logging</t>
  </si>
  <si>
    <t xml:space="preserve">Log WARN for auth failures, deletions, privilege ops</t>
  </si>
  <si>
    <t xml:space="preserve">ERR-07</t>
  </si>
  <si>
    <t xml:space="preserve">Asset pipeline silently skips on failure</t>
  </si>
  <si>
    <t xml:space="preserve">src/lib/pipeline/index.ts L79-81</t>
  </si>
  <si>
    <t xml:space="preserve">Return error object, show warning to user</t>
  </si>
  <si>
    <t xml:space="preserve">ERR-08</t>
  </si>
  <si>
    <t xml:space="preserve">GSPL parser regex has no error recovery</t>
  </si>
  <si>
    <t xml:space="preserve">src/lib/gspl-parser.ts L54</t>
  </si>
  <si>
    <t xml:space="preserve">Add error messages per regex match failure</t>
  </si>
  <si>
    <t xml:space="preserve">DAT-01</t>
  </si>
  <si>
    <t xml:space="preserve">MongoDB never connected — seeds are in-memory</t>
  </si>
  <si>
    <t xml:space="preserve">Implement MongoDB driver or document in-memory-only mode</t>
  </si>
  <si>
    <t xml:space="preserve">DAT-02</t>
  </si>
  <si>
    <t xml:space="preserve">No database indexes</t>
  </si>
  <si>
    <t xml:space="preserve">N/A</t>
  </si>
  <si>
    <t xml:space="preserve">Add indexes on user_id, created_at, domain, hash</t>
  </si>
  <si>
    <t xml:space="preserve">DAT-03</t>
  </si>
  <si>
    <t xml:space="preserve">No migration system</t>
  </si>
  <si>
    <t xml:space="preserve">Add migrate-mongo or manual versioned migrations</t>
  </si>
  <si>
    <t xml:space="preserve">DAT-04</t>
  </si>
  <si>
    <t xml:space="preserve">No backup/restore strategy</t>
  </si>
  <si>
    <t xml:space="preserve">Add mongodump cron job or documented restore procedure</t>
  </si>
  <si>
    <t xml:space="preserve">DAT-05</t>
  </si>
  <si>
    <t xml:space="preserve">Seed gallery not persisted on frontend</t>
  </si>
  <si>
    <t xml:space="preserve">Add localStorage persistence for gallery state</t>
  </si>
  <si>
    <t xml:space="preserve">API-01</t>
  </si>
  <si>
    <t xml:space="preserve">No OpenAPI/Swagger docs</t>
  </si>
  <si>
    <t xml:space="preserve">Add swagger-jsdoc + Swagger UI on /api-docs</t>
  </si>
  <si>
    <t xml:space="preserve">API-02</t>
  </si>
  <si>
    <t xml:space="preserve">No graceful shutdown handler</t>
  </si>
  <si>
    <t xml:space="preserve">Handle SIGTERM/SIGINT, drain connections, save state</t>
  </si>
  <si>
    <t xml:space="preserve">API-03</t>
  </si>
  <si>
    <t xml:space="preserve">No API versioning</t>
  </si>
  <si>
    <t xml:space="preserve">Prefix all routes with /api/v1/</t>
  </si>
  <si>
    <t xml:space="preserve">FE-01</t>
  </si>
  <si>
    <t xml:space="preserve">No auth guards on /studio route</t>
  </si>
  <si>
    <t xml:space="preserve">src/App.tsx</t>
  </si>
  <si>
    <t xml:space="preserve">Add ProtectedRoute wrapper checking authStore</t>
  </si>
  <si>
    <t xml:space="preserve">FE-02</t>
  </si>
  <si>
    <t xml:space="preserve">No token refresh — expired JWT logs out</t>
  </si>
  <si>
    <t xml:space="preserve">Intercept 401, attempt refresh, retry original request</t>
  </si>
  <si>
    <t xml:space="preserve">FE-03</t>
  </si>
  <si>
    <t xml:space="preserve">Zero accessibility (0 aria-labels)</t>
  </si>
  <si>
    <t xml:space="preserve">Add aria-labels, roles, keyboard nav, focus indicators</t>
  </si>
  <si>
    <t xml:space="preserve">FE-04</t>
  </si>
  <si>
    <t xml:space="preserve">GSPL editor has no syntax highlighting</t>
  </si>
  <si>
    <t xml:space="preserve">src/components/studio/GSPLEditor.jsx</t>
  </si>
  <si>
    <t xml:space="preserve">Integrate Monaco or CodeMirror with GSPL grammar</t>
  </si>
  <si>
    <t xml:space="preserve">FE-05</t>
  </si>
  <si>
    <t xml:space="preserve">Studio layout breaks at 1024px</t>
  </si>
  <si>
    <t xml:space="preserve">App.css L168-177</t>
  </si>
  <si>
    <t xml:space="preserve">Add tablet breakpoint, show collapsible panels</t>
  </si>
  <si>
    <t xml:space="preserve">FE-06</t>
  </si>
  <si>
    <t xml:space="preserve">LineageGraph O(n²) per render</t>
  </si>
  <si>
    <t xml:space="preserve">src/components/studio/LineageGraph.jsx</t>
  </si>
  <si>
    <t xml:space="preserve">Memoize force layout, throttle re-renders</t>
  </si>
  <si>
    <t xml:space="preserve">FE-07</t>
  </si>
  <si>
    <t xml:space="preserve">No loading state on initial gallery load</t>
  </si>
  <si>
    <t xml:space="preserve">src/pages/StudioPage.jsx L27-31</t>
  </si>
  <si>
    <t xml:space="preserve">Show skeleton/spinner during loadGallery</t>
  </si>
  <si>
    <t xml:space="preserve">TST-01</t>
  </si>
  <si>
    <t xml:space="preserve">No API endpoint integration tests</t>
  </si>
  <si>
    <t xml:space="preserve">tests/</t>
  </si>
  <si>
    <t xml:space="preserve">Add supertest or Vitest tests for all HTTP endpoints</t>
  </si>
  <si>
    <t xml:space="preserve">TST-02</t>
  </si>
  <si>
    <t xml:space="preserve">No frontend component tests</t>
  </si>
  <si>
    <t xml:space="preserve">Add React Testing Library tests for studio components</t>
  </si>
  <si>
    <t xml:space="preserve">TST-03</t>
  </si>
  <si>
    <t xml:space="preserve">E2E tests not implemented</t>
  </si>
  <si>
    <t xml:space="preserve">tests/e2e/</t>
  </si>
  <si>
    <t xml:space="preserve">Implement Playwright tests for critical flows</t>
  </si>
  <si>
    <t xml:space="preserve">TST-04</t>
  </si>
  <si>
    <t xml:space="preserve">Smoke test expects live server</t>
  </si>
  <si>
    <t xml:space="preserve">scripts/smoke-test.mjs</t>
  </si>
  <si>
    <t xml:space="preserve">Add CI step that starts server before smoke test</t>
  </si>
  <si>
    <t xml:space="preserve">OPS-01</t>
  </si>
  <si>
    <t xml:space="preserve">CI deploy steps are stubs (echo only)</t>
  </si>
  <si>
    <t xml:space="preserve">.github/workflows/ci.yml L209-228</t>
  </si>
  <si>
    <t xml:space="preserve">Fill in real deployment (SSH, Docker push, k8s apply)</t>
  </si>
  <si>
    <t xml:space="preserve">OPS-02</t>
  </si>
  <si>
    <t xml:space="preserve">NODE_ENV not enforced in production</t>
  </si>
  <si>
    <t xml:space="preserve">server.ts L1226</t>
  </si>
  <si>
    <t xml:space="preserve">Throw error if NODE_ENV not set</t>
  </si>
  <si>
    <t xml:space="preserve">OPS-03</t>
  </si>
  <si>
    <t xml:space="preserve">No health check differentiation</t>
  </si>
  <si>
    <t xml:space="preserve">server.ts, Dockerfile</t>
  </si>
  <si>
    <t xml:space="preserve">Separate /healthz (simple 200) from /health (stats)</t>
  </si>
  <si>
    <t xml:space="preserve">OPS-04</t>
  </si>
  <si>
    <t xml:space="preserve">Dockerfile tsx global install fragile</t>
  </si>
  <si>
    <t xml:space="preserve">Dockerfile L22</t>
  </si>
  <si>
    <t xml:space="preserve">Copy tsx from build stage or use compiled JS</t>
  </si>
  <si>
    <t xml:space="preserve">DOC-01</t>
  </si>
  <si>
    <t xml:space="preserve">README says 26 domains (should be 27)</t>
  </si>
  <si>
    <t xml:space="preserve">README.md</t>
  </si>
  <si>
    <t xml:space="preserve">Update all references: 27 domains, 12 bridges, 17 gene types</t>
  </si>
  <si>
    <t xml:space="preserve">DOC-02</t>
  </si>
  <si>
    <t xml:space="preserve">No deployment guide</t>
  </si>
  <si>
    <t xml:space="preserve">Write DigitalOcean/AWS deployment walkthrough</t>
  </si>
  <si>
    <t xml:space="preserve">OBS-01</t>
  </si>
  <si>
    <t xml:space="preserve">No error tracking (Sentry/DataDog)</t>
  </si>
  <si>
    <t xml:space="preserve">server.ts, frontend</t>
  </si>
  <si>
    <t xml:space="preserve">Add Sentry SDK to both backend and React</t>
  </si>
  <si>
    <t xml:space="preserve">OBS-02</t>
  </si>
  <si>
    <t xml:space="preserve">No structured audit trail</t>
  </si>
  <si>
    <t xml:space="preserve">Log all mutations, deletions, auth events with user ID + timestamp</t>
  </si>
  <si>
    <t xml:space="preserve">OBS-03</t>
  </si>
  <si>
    <t xml:space="preserve">Frontend errors vanish (console only)</t>
  </si>
  <si>
    <t xml:space="preserve">All components</t>
  </si>
  <si>
    <t xml:space="preserve">Wire error boundary + toast errors to Sentry/logging</t>
  </si>
  <si>
    <t xml:space="preserve">SPRINT PLAN — 12 → 100 in 6 Weeks</t>
  </si>
  <si>
    <t xml:space="preserve">Sprint 1 — Foundation Security (Week 1-2)</t>
  </si>
  <si>
    <t xml:space="preserve">Score: 12 → 45</t>
  </si>
  <si>
    <t xml:space="preserve">☐</t>
  </si>
  <si>
    <t xml:space="preserve">Add Zod validation schemas to all 12 POST/PUT endpoints</t>
  </si>
  <si>
    <t xml:space="preserve">Add cors + helmet middleware to server.ts</t>
  </si>
  <si>
    <t xml:space="preserve">Add pagination (limit/offset) to GET /api/seeds</t>
  </si>
  <si>
    <t xml:space="preserve">Add requireAuth middleware — protect all seed mutations + delete</t>
  </si>
  <si>
    <t xml:space="preserve">Lock down /metrics, WebSocket auth, remove private key from bodies</t>
  </si>
  <si>
    <t xml:space="preserve">Add ErrorBoundary + WebGL fallback + toast errors (sonner) in frontend</t>
  </si>
  <si>
    <t xml:space="preserve">Enforce JWT_SECRET required in production</t>
  </si>
  <si>
    <t xml:space="preserve">Update README: 27 domains, 12 bridges, 211 tests</t>
  </si>
  <si>
    <t xml:space="preserve">Sprint 2 — Data &amp; Reliability (Week 3-4)</t>
  </si>
  <si>
    <t xml:space="preserve">Score: 45 → 72</t>
  </si>
  <si>
    <t xml:space="preserve">Implement MongoDB persistence (connect, CRUD, indexes)</t>
  </si>
  <si>
    <t xml:space="preserve">Add Redis-backed rate limiting + JWT blacklist</t>
  </si>
  <si>
    <t xml:space="preserve">Implement refresh token rotation</t>
  </si>
  <si>
    <t xml:space="preserve">Add role-based access control (admin/user)</t>
  </si>
  <si>
    <t xml:space="preserve">Add API retry logic + exponential backoff in frontend</t>
  </si>
  <si>
    <t xml:space="preserve">Add error state to seedStore, propagate to all components</t>
  </si>
  <si>
    <t xml:space="preserve">Add Sentry error tracking (backend + frontend)</t>
  </si>
  <si>
    <t xml:space="preserve">Add structured audit logging for all mutations</t>
  </si>
  <si>
    <t xml:space="preserve">Fill in CI deploy steps with real Docker push + staging deploy</t>
  </si>
  <si>
    <t xml:space="preserve">Add OpenAPI/Swagger on /api-docs</t>
  </si>
  <si>
    <t xml:space="preserve">Add API endpoint integration tests (supertest)</t>
  </si>
  <si>
    <t xml:space="preserve">Sprint 3 — Polish &amp; Hardening (Week 5-6)</t>
  </si>
  <si>
    <t xml:space="preserve">Score: 72 → 100</t>
  </si>
  <si>
    <t xml:space="preserve">Add CSRF protection (SameSite cookies)</t>
  </si>
  <si>
    <t xml:space="preserve">Nonce-based CSP in nginx (remove unsafe-inline)</t>
  </si>
  <si>
    <t xml:space="preserve">Add MongoDB/Redis auth in docker-compose</t>
  </si>
  <si>
    <t xml:space="preserve">Add graceful shutdown handler (SIGTERM/SIGINT)</t>
  </si>
  <si>
    <t xml:space="preserve">Implement frontend accessibility (aria-labels, keyboard nav, focus)</t>
  </si>
  <si>
    <t xml:space="preserve">Add GSPL syntax highlighting (Monaco/CodeMirror)</t>
  </si>
  <si>
    <t xml:space="preserve">Fix responsive layout for tablet (1024px breakpoint)</t>
  </si>
  <si>
    <t xml:space="preserve">Memoize LineageGraph force layout</t>
  </si>
  <si>
    <t xml:space="preserve">Add frontend component tests (React Testing Library)</t>
  </si>
  <si>
    <t xml:space="preserve">Add Playwright E2E tests for critical flows</t>
  </si>
  <si>
    <t xml:space="preserve">Write deployment guide (DigitalOcean/AWS)</t>
  </si>
  <si>
    <t xml:space="preserve">Add backup/restore documentation</t>
  </si>
  <si>
    <t xml:space="preserve">Final production readiness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</si>
</sst>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8"/>
      <color rgb="FF1565C0"/>
      <name val="Arial"/>
      <family val="0"/>
      <charset val="1"/>
    </font>
    <font>
      <sz val="14"/>
      <color rgb="FF999999"/>
      <name val="Arial"/>
      <family val="0"/>
      <charset val="1"/>
    </font>
    <font>
      <sz val="11"/>
      <color rgb="FF1565C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3F2FD"/>
        <bgColor rgb="FFE8F5E9"/>
      </patternFill>
    </fill>
    <fill>
      <patternFill patternType="solid">
        <fgColor rgb="FF1A1A2E"/>
        <bgColor rgb="FF003300"/>
      </patternFill>
    </fill>
    <fill>
      <patternFill patternType="solid">
        <fgColor rgb="FFFFE0E0"/>
        <bgColor rgb="FFFFF3E0"/>
      </patternFill>
    </fill>
    <fill>
      <patternFill patternType="solid">
        <fgColor rgb="FFFFF3E0"/>
        <bgColor rgb="FFE8F5E9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5722"/>
      <rgbColor rgb="FF666666"/>
      <rgbColor rgb="FF999999"/>
      <rgbColor rgb="FF003366"/>
      <rgbColor rgb="FF4CAF50"/>
      <rgbColor rgb="FF003300"/>
      <rgbColor rgb="FF1B5E2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3.85" hidden="false" customHeight="false" outlineLevel="0" collapsed="false">
      <c r="A4" s="3" t="s">
        <v>2</v>
      </c>
      <c r="B4" s="4" t="n">
        <f aca="false">Dashboard!B5</f>
        <v>40</v>
      </c>
      <c r="C4" s="5" t="s">
        <v>3</v>
      </c>
    </row>
    <row r="5" customFormat="false" ht="15" hidden="false" customHeight="false" outlineLevel="0" collapsed="false">
      <c r="B5" s="6" t="n">
        <f aca="false">C18</f>
        <v>40</v>
      </c>
    </row>
    <row r="7" customFormat="false" ht="15" hidden="false" customHeight="false" outlineLevel="0" collapsed="false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</row>
    <row r="8" customFormat="false" ht="15" hidden="false" customHeight="false" outlineLevel="0" collapsed="false">
      <c r="A8" s="8" t="s">
        <v>9</v>
      </c>
      <c r="B8" s="9" t="n">
        <v>20</v>
      </c>
      <c r="C8" s="9" t="n">
        <v>6</v>
      </c>
      <c r="D8" s="9" t="n">
        <v>20</v>
      </c>
      <c r="E8" s="9" t="n">
        <f aca="false">D8-C8</f>
        <v>14</v>
      </c>
    </row>
    <row r="9" customFormat="false" ht="15" hidden="false" customHeight="false" outlineLevel="0" collapsed="false">
      <c r="A9" s="8" t="s">
        <v>10</v>
      </c>
      <c r="B9" s="9" t="n">
        <v>10</v>
      </c>
      <c r="C9" s="9" t="n">
        <v>1</v>
      </c>
      <c r="D9" s="9" t="n">
        <v>10</v>
      </c>
      <c r="E9" s="9" t="n">
        <f aca="false">D9-C9</f>
        <v>9</v>
      </c>
    </row>
    <row r="10" customFormat="false" ht="15" hidden="false" customHeight="false" outlineLevel="0" collapsed="false">
      <c r="A10" s="8" t="s">
        <v>11</v>
      </c>
      <c r="B10" s="9" t="n">
        <v>10</v>
      </c>
      <c r="C10" s="9" t="n">
        <v>3</v>
      </c>
      <c r="D10" s="9" t="n">
        <v>10</v>
      </c>
      <c r="E10" s="9" t="n">
        <f aca="false">D10-C10</f>
        <v>7</v>
      </c>
    </row>
    <row r="11" customFormat="false" ht="15" hidden="false" customHeight="false" outlineLevel="0" collapsed="false">
      <c r="A11" s="8" t="s">
        <v>12</v>
      </c>
      <c r="B11" s="9" t="n">
        <v>10</v>
      </c>
      <c r="C11" s="9" t="n">
        <v>2</v>
      </c>
      <c r="D11" s="9" t="n">
        <v>10</v>
      </c>
      <c r="E11" s="9" t="n">
        <f aca="false">D11-C11</f>
        <v>8</v>
      </c>
    </row>
    <row r="12" customFormat="false" ht="15" hidden="false" customHeight="false" outlineLevel="0" collapsed="false">
      <c r="A12" s="8" t="s">
        <v>13</v>
      </c>
      <c r="B12" s="9" t="n">
        <v>10</v>
      </c>
      <c r="C12" s="9" t="n">
        <v>7</v>
      </c>
      <c r="D12" s="9" t="n">
        <v>10</v>
      </c>
      <c r="E12" s="9" t="n">
        <f aca="false">D12-C12</f>
        <v>3</v>
      </c>
    </row>
    <row r="13" customFormat="false" ht="15" hidden="false" customHeight="false" outlineLevel="0" collapsed="false">
      <c r="A13" s="8" t="s">
        <v>14</v>
      </c>
      <c r="B13" s="9" t="n">
        <v>10</v>
      </c>
      <c r="C13" s="9" t="n">
        <v>4</v>
      </c>
      <c r="D13" s="9" t="n">
        <v>10</v>
      </c>
      <c r="E13" s="9" t="n">
        <f aca="false">D13-C13</f>
        <v>6</v>
      </c>
    </row>
    <row r="14" customFormat="false" ht="15" hidden="false" customHeight="false" outlineLevel="0" collapsed="false">
      <c r="A14" s="8" t="s">
        <v>15</v>
      </c>
      <c r="B14" s="9" t="n">
        <v>10</v>
      </c>
      <c r="C14" s="9" t="n">
        <v>5</v>
      </c>
      <c r="D14" s="9" t="n">
        <v>10</v>
      </c>
      <c r="E14" s="9" t="n">
        <f aca="false">D14-C14</f>
        <v>5</v>
      </c>
    </row>
    <row r="15" customFormat="false" ht="15" hidden="false" customHeight="false" outlineLevel="0" collapsed="false">
      <c r="A15" s="8" t="s">
        <v>16</v>
      </c>
      <c r="B15" s="9" t="n">
        <v>10</v>
      </c>
      <c r="C15" s="9" t="n">
        <v>6</v>
      </c>
      <c r="D15" s="9" t="n">
        <v>10</v>
      </c>
      <c r="E15" s="9" t="n">
        <f aca="false">D15-C15</f>
        <v>4</v>
      </c>
    </row>
    <row r="16" customFormat="false" ht="15" hidden="false" customHeight="false" outlineLevel="0" collapsed="false">
      <c r="A16" s="8" t="s">
        <v>17</v>
      </c>
      <c r="B16" s="9" t="n">
        <v>5</v>
      </c>
      <c r="C16" s="9" t="n">
        <v>4</v>
      </c>
      <c r="D16" s="9" t="n">
        <v>5</v>
      </c>
      <c r="E16" s="9" t="n">
        <f aca="false">D16-C16</f>
        <v>1</v>
      </c>
    </row>
    <row r="17" customFormat="false" ht="15" hidden="false" customHeight="false" outlineLevel="0" collapsed="false">
      <c r="A17" s="8" t="s">
        <v>18</v>
      </c>
      <c r="B17" s="9" t="n">
        <v>5</v>
      </c>
      <c r="C17" s="9" t="n">
        <v>2</v>
      </c>
      <c r="D17" s="9" t="n">
        <v>5</v>
      </c>
      <c r="E17" s="9" t="n">
        <f aca="false">D17-C17</f>
        <v>3</v>
      </c>
    </row>
    <row r="18" customFormat="false" ht="15" hidden="false" customHeight="false" outlineLevel="0" collapsed="false">
      <c r="A18" s="10" t="s">
        <v>19</v>
      </c>
      <c r="B18" s="10" t="n">
        <f aca="false">SUM(B8:B17)</f>
        <v>100</v>
      </c>
      <c r="C18" s="10" t="n">
        <f aca="false">SUM(C8:C17)</f>
        <v>40</v>
      </c>
      <c r="D18" s="10" t="n">
        <f aca="false">SUM(D8:D17)</f>
        <v>100</v>
      </c>
      <c r="E18" s="10" t="n">
        <f aca="false">SUM(E8:E17)</f>
        <v>60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32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7" t="s">
        <v>20</v>
      </c>
      <c r="B1" s="7" t="s">
        <v>21</v>
      </c>
      <c r="C1" s="7" t="s">
        <v>4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</row>
    <row r="2" customFormat="false" ht="15" hidden="false" customHeight="false" outlineLevel="0" collapsed="false">
      <c r="A2" s="11" t="s">
        <v>27</v>
      </c>
      <c r="B2" s="12" t="s">
        <v>28</v>
      </c>
      <c r="C2" s="11" t="s">
        <v>9</v>
      </c>
      <c r="D2" s="12" t="s">
        <v>29</v>
      </c>
      <c r="E2" s="11" t="s">
        <v>30</v>
      </c>
      <c r="F2" s="11" t="s">
        <v>31</v>
      </c>
      <c r="G2" s="11" t="s">
        <v>32</v>
      </c>
      <c r="H2" s="12" t="s">
        <v>33</v>
      </c>
    </row>
    <row r="3" customFormat="false" ht="15" hidden="false" customHeight="false" outlineLevel="0" collapsed="false">
      <c r="A3" s="11" t="s">
        <v>34</v>
      </c>
      <c r="B3" s="12" t="s">
        <v>35</v>
      </c>
      <c r="C3" s="11" t="s">
        <v>9</v>
      </c>
      <c r="D3" s="12" t="s">
        <v>29</v>
      </c>
      <c r="E3" s="11" t="s">
        <v>30</v>
      </c>
      <c r="F3" s="11" t="s">
        <v>31</v>
      </c>
      <c r="G3" s="11" t="s">
        <v>36</v>
      </c>
      <c r="H3" s="12" t="s">
        <v>37</v>
      </c>
    </row>
    <row r="4" customFormat="false" ht="15" hidden="false" customHeight="false" outlineLevel="0" collapsed="false">
      <c r="A4" s="11" t="s">
        <v>38</v>
      </c>
      <c r="B4" s="12" t="s">
        <v>39</v>
      </c>
      <c r="C4" s="11" t="s">
        <v>9</v>
      </c>
      <c r="D4" s="12" t="s">
        <v>29</v>
      </c>
      <c r="E4" s="11" t="s">
        <v>30</v>
      </c>
      <c r="F4" s="11" t="s">
        <v>31</v>
      </c>
      <c r="G4" s="11" t="s">
        <v>40</v>
      </c>
      <c r="H4" s="12" t="s">
        <v>41</v>
      </c>
    </row>
    <row r="5" customFormat="false" ht="15" hidden="false" customHeight="false" outlineLevel="0" collapsed="false">
      <c r="A5" s="11" t="s">
        <v>42</v>
      </c>
      <c r="B5" s="12" t="s">
        <v>43</v>
      </c>
      <c r="C5" s="11" t="s">
        <v>9</v>
      </c>
      <c r="D5" s="12" t="s">
        <v>29</v>
      </c>
      <c r="E5" s="11" t="s">
        <v>30</v>
      </c>
      <c r="F5" s="11" t="s">
        <v>31</v>
      </c>
      <c r="G5" s="11" t="s">
        <v>36</v>
      </c>
      <c r="H5" s="12" t="s">
        <v>44</v>
      </c>
    </row>
    <row r="6" customFormat="false" ht="15" hidden="false" customHeight="false" outlineLevel="0" collapsed="false">
      <c r="A6" s="11" t="s">
        <v>45</v>
      </c>
      <c r="B6" s="12" t="s">
        <v>46</v>
      </c>
      <c r="C6" s="11" t="s">
        <v>9</v>
      </c>
      <c r="D6" s="12" t="s">
        <v>29</v>
      </c>
      <c r="E6" s="11" t="s">
        <v>30</v>
      </c>
      <c r="F6" s="11" t="s">
        <v>31</v>
      </c>
      <c r="G6" s="11" t="s">
        <v>47</v>
      </c>
      <c r="H6" s="12" t="s">
        <v>48</v>
      </c>
    </row>
    <row r="7" customFormat="false" ht="15" hidden="false" customHeight="false" outlineLevel="0" collapsed="false">
      <c r="A7" s="13" t="s">
        <v>49</v>
      </c>
      <c r="B7" s="14" t="s">
        <v>50</v>
      </c>
      <c r="C7" s="13" t="s">
        <v>9</v>
      </c>
      <c r="D7" s="14" t="s">
        <v>51</v>
      </c>
      <c r="E7" s="13" t="s">
        <v>30</v>
      </c>
      <c r="F7" s="13" t="s">
        <v>31</v>
      </c>
      <c r="G7" s="13" t="s">
        <v>52</v>
      </c>
      <c r="H7" s="14" t="s">
        <v>53</v>
      </c>
    </row>
    <row r="8" customFormat="false" ht="15" hidden="false" customHeight="false" outlineLevel="0" collapsed="false">
      <c r="A8" s="13" t="s">
        <v>54</v>
      </c>
      <c r="B8" s="14" t="s">
        <v>55</v>
      </c>
      <c r="C8" s="13" t="s">
        <v>9</v>
      </c>
      <c r="D8" s="14" t="s">
        <v>51</v>
      </c>
      <c r="E8" s="13" t="s">
        <v>56</v>
      </c>
      <c r="F8" s="13" t="s">
        <v>31</v>
      </c>
      <c r="G8" s="13" t="s">
        <v>57</v>
      </c>
      <c r="H8" s="14" t="s">
        <v>58</v>
      </c>
    </row>
    <row r="9" customFormat="false" ht="15" hidden="false" customHeight="false" outlineLevel="0" collapsed="false">
      <c r="A9" s="13" t="s">
        <v>59</v>
      </c>
      <c r="B9" s="14" t="s">
        <v>60</v>
      </c>
      <c r="C9" s="13" t="s">
        <v>9</v>
      </c>
      <c r="D9" s="14" t="s">
        <v>51</v>
      </c>
      <c r="E9" s="13" t="s">
        <v>56</v>
      </c>
      <c r="F9" s="13" t="s">
        <v>31</v>
      </c>
      <c r="G9" s="13" t="s">
        <v>61</v>
      </c>
      <c r="H9" s="14" t="s">
        <v>62</v>
      </c>
    </row>
    <row r="10" customFormat="false" ht="23.85" hidden="false" customHeight="false" outlineLevel="0" collapsed="false">
      <c r="A10" s="13" t="s">
        <v>63</v>
      </c>
      <c r="B10" s="14" t="s">
        <v>64</v>
      </c>
      <c r="C10" s="13" t="s">
        <v>9</v>
      </c>
      <c r="D10" s="14" t="s">
        <v>51</v>
      </c>
      <c r="E10" s="13" t="s">
        <v>56</v>
      </c>
      <c r="F10" s="13" t="s">
        <v>31</v>
      </c>
      <c r="G10" s="13" t="s">
        <v>65</v>
      </c>
      <c r="H10" s="14" t="s">
        <v>66</v>
      </c>
    </row>
    <row r="11" customFormat="false" ht="15" hidden="false" customHeight="false" outlineLevel="0" collapsed="false">
      <c r="A11" s="13" t="s">
        <v>67</v>
      </c>
      <c r="B11" s="14" t="s">
        <v>68</v>
      </c>
      <c r="C11" s="13" t="s">
        <v>9</v>
      </c>
      <c r="D11" s="14" t="s">
        <v>51</v>
      </c>
      <c r="E11" s="13" t="s">
        <v>30</v>
      </c>
      <c r="F11" s="13" t="s">
        <v>31</v>
      </c>
      <c r="G11" s="13" t="s">
        <v>69</v>
      </c>
      <c r="H11" s="14" t="s">
        <v>70</v>
      </c>
    </row>
    <row r="12" customFormat="false" ht="15" hidden="false" customHeight="false" outlineLevel="0" collapsed="false">
      <c r="A12" s="13" t="s">
        <v>71</v>
      </c>
      <c r="B12" s="14" t="s">
        <v>72</v>
      </c>
      <c r="C12" s="13" t="s">
        <v>9</v>
      </c>
      <c r="D12" s="14" t="s">
        <v>51</v>
      </c>
      <c r="E12" s="13" t="s">
        <v>56</v>
      </c>
      <c r="F12" s="13" t="s">
        <v>31</v>
      </c>
      <c r="G12" s="13" t="s">
        <v>73</v>
      </c>
      <c r="H12" s="14" t="s">
        <v>74</v>
      </c>
    </row>
    <row r="13" customFormat="false" ht="15" hidden="false" customHeight="false" outlineLevel="0" collapsed="false">
      <c r="A13" s="15" t="s">
        <v>75</v>
      </c>
      <c r="B13" s="16" t="s">
        <v>76</v>
      </c>
      <c r="C13" s="15" t="s">
        <v>9</v>
      </c>
      <c r="D13" s="16" t="s">
        <v>77</v>
      </c>
      <c r="E13" s="15" t="s">
        <v>78</v>
      </c>
      <c r="F13" s="15" t="s">
        <v>31</v>
      </c>
      <c r="G13" s="15" t="s">
        <v>32</v>
      </c>
      <c r="H13" s="16" t="s">
        <v>79</v>
      </c>
    </row>
    <row r="14" customFormat="false" ht="15" hidden="false" customHeight="false" outlineLevel="0" collapsed="false">
      <c r="A14" s="15" t="s">
        <v>80</v>
      </c>
      <c r="B14" s="16" t="s">
        <v>81</v>
      </c>
      <c r="C14" s="15" t="s">
        <v>9</v>
      </c>
      <c r="D14" s="16" t="s">
        <v>77</v>
      </c>
      <c r="E14" s="15" t="s">
        <v>56</v>
      </c>
      <c r="F14" s="15" t="s">
        <v>31</v>
      </c>
      <c r="G14" s="15" t="s">
        <v>82</v>
      </c>
      <c r="H14" s="16" t="s">
        <v>83</v>
      </c>
    </row>
    <row r="15" customFormat="false" ht="15" hidden="false" customHeight="false" outlineLevel="0" collapsed="false">
      <c r="A15" s="15" t="s">
        <v>84</v>
      </c>
      <c r="B15" s="16" t="s">
        <v>85</v>
      </c>
      <c r="C15" s="15" t="s">
        <v>9</v>
      </c>
      <c r="D15" s="16" t="s">
        <v>77</v>
      </c>
      <c r="E15" s="15" t="s">
        <v>78</v>
      </c>
      <c r="F15" s="15" t="s">
        <v>31</v>
      </c>
      <c r="G15" s="15" t="s">
        <v>86</v>
      </c>
      <c r="H15" s="16" t="s">
        <v>87</v>
      </c>
    </row>
    <row r="16" customFormat="false" ht="15" hidden="false" customHeight="false" outlineLevel="0" collapsed="false">
      <c r="A16" s="15" t="s">
        <v>88</v>
      </c>
      <c r="B16" s="16" t="s">
        <v>89</v>
      </c>
      <c r="C16" s="15" t="s">
        <v>9</v>
      </c>
      <c r="D16" s="16" t="s">
        <v>77</v>
      </c>
      <c r="E16" s="15" t="s">
        <v>78</v>
      </c>
      <c r="F16" s="15" t="s">
        <v>31</v>
      </c>
      <c r="G16" s="15" t="s">
        <v>90</v>
      </c>
      <c r="H16" s="16" t="s">
        <v>91</v>
      </c>
    </row>
    <row r="17" customFormat="false" ht="23.85" hidden="false" customHeight="false" outlineLevel="0" collapsed="false">
      <c r="A17" s="11" t="s">
        <v>92</v>
      </c>
      <c r="B17" s="12" t="s">
        <v>93</v>
      </c>
      <c r="C17" s="11" t="s">
        <v>10</v>
      </c>
      <c r="D17" s="12" t="s">
        <v>29</v>
      </c>
      <c r="E17" s="11" t="s">
        <v>30</v>
      </c>
      <c r="F17" s="11" t="s">
        <v>31</v>
      </c>
      <c r="G17" s="11" t="s">
        <v>94</v>
      </c>
      <c r="H17" s="12" t="s">
        <v>95</v>
      </c>
    </row>
    <row r="18" customFormat="false" ht="15" hidden="false" customHeight="false" outlineLevel="0" collapsed="false">
      <c r="A18" s="11" t="s">
        <v>96</v>
      </c>
      <c r="B18" s="12" t="s">
        <v>97</v>
      </c>
      <c r="C18" s="11" t="s">
        <v>10</v>
      </c>
      <c r="D18" s="12" t="s">
        <v>29</v>
      </c>
      <c r="E18" s="11" t="s">
        <v>30</v>
      </c>
      <c r="F18" s="11" t="s">
        <v>31</v>
      </c>
      <c r="G18" s="11" t="s">
        <v>98</v>
      </c>
      <c r="H18" s="12" t="s">
        <v>99</v>
      </c>
    </row>
    <row r="19" customFormat="false" ht="15" hidden="false" customHeight="false" outlineLevel="0" collapsed="false">
      <c r="A19" s="11" t="s">
        <v>100</v>
      </c>
      <c r="B19" s="12" t="s">
        <v>101</v>
      </c>
      <c r="C19" s="11" t="s">
        <v>10</v>
      </c>
      <c r="D19" s="12" t="s">
        <v>29</v>
      </c>
      <c r="E19" s="11" t="s">
        <v>30</v>
      </c>
      <c r="F19" s="11" t="s">
        <v>31</v>
      </c>
      <c r="G19" s="11" t="s">
        <v>102</v>
      </c>
      <c r="H19" s="12" t="s">
        <v>103</v>
      </c>
    </row>
    <row r="20" customFormat="false" ht="15" hidden="false" customHeight="false" outlineLevel="0" collapsed="false">
      <c r="A20" s="11" t="s">
        <v>104</v>
      </c>
      <c r="B20" s="12" t="s">
        <v>105</v>
      </c>
      <c r="C20" s="11" t="s">
        <v>10</v>
      </c>
      <c r="D20" s="12" t="s">
        <v>29</v>
      </c>
      <c r="E20" s="11" t="s">
        <v>30</v>
      </c>
      <c r="F20" s="11" t="s">
        <v>31</v>
      </c>
      <c r="G20" s="11" t="s">
        <v>106</v>
      </c>
      <c r="H20" s="12" t="s">
        <v>107</v>
      </c>
    </row>
    <row r="21" customFormat="false" ht="23.85" hidden="false" customHeight="false" outlineLevel="0" collapsed="false">
      <c r="A21" s="11" t="s">
        <v>108</v>
      </c>
      <c r="B21" s="12" t="s">
        <v>109</v>
      </c>
      <c r="C21" s="11" t="s">
        <v>10</v>
      </c>
      <c r="D21" s="12" t="s">
        <v>29</v>
      </c>
      <c r="E21" s="11" t="s">
        <v>30</v>
      </c>
      <c r="F21" s="11" t="s">
        <v>31</v>
      </c>
      <c r="G21" s="11" t="s">
        <v>110</v>
      </c>
      <c r="H21" s="12" t="s">
        <v>111</v>
      </c>
    </row>
    <row r="22" customFormat="false" ht="15" hidden="false" customHeight="false" outlineLevel="0" collapsed="false">
      <c r="A22" s="13" t="s">
        <v>112</v>
      </c>
      <c r="B22" s="14" t="s">
        <v>113</v>
      </c>
      <c r="C22" s="13" t="s">
        <v>10</v>
      </c>
      <c r="D22" s="14" t="s">
        <v>51</v>
      </c>
      <c r="E22" s="13" t="s">
        <v>30</v>
      </c>
      <c r="F22" s="13" t="s">
        <v>31</v>
      </c>
      <c r="G22" s="13" t="s">
        <v>114</v>
      </c>
      <c r="H22" s="14" t="s">
        <v>115</v>
      </c>
    </row>
    <row r="23" customFormat="false" ht="15" hidden="false" customHeight="false" outlineLevel="0" collapsed="false">
      <c r="A23" s="11" t="s">
        <v>116</v>
      </c>
      <c r="B23" s="12" t="s">
        <v>117</v>
      </c>
      <c r="C23" s="11" t="s">
        <v>10</v>
      </c>
      <c r="D23" s="12" t="s">
        <v>29</v>
      </c>
      <c r="E23" s="11" t="s">
        <v>30</v>
      </c>
      <c r="F23" s="11" t="s">
        <v>31</v>
      </c>
      <c r="G23" s="11" t="s">
        <v>118</v>
      </c>
      <c r="H23" s="12" t="s">
        <v>119</v>
      </c>
    </row>
    <row r="24" customFormat="false" ht="15" hidden="false" customHeight="false" outlineLevel="0" collapsed="false">
      <c r="A24" s="13" t="s">
        <v>120</v>
      </c>
      <c r="B24" s="14" t="s">
        <v>121</v>
      </c>
      <c r="C24" s="13" t="s">
        <v>10</v>
      </c>
      <c r="D24" s="14" t="s">
        <v>51</v>
      </c>
      <c r="E24" s="13" t="s">
        <v>56</v>
      </c>
      <c r="F24" s="13" t="s">
        <v>31</v>
      </c>
      <c r="G24" s="13" t="s">
        <v>122</v>
      </c>
      <c r="H24" s="14" t="s">
        <v>123</v>
      </c>
    </row>
    <row r="25" customFormat="false" ht="15" hidden="false" customHeight="false" outlineLevel="0" collapsed="false">
      <c r="A25" s="13" t="s">
        <v>124</v>
      </c>
      <c r="B25" s="14" t="s">
        <v>125</v>
      </c>
      <c r="C25" s="13" t="s">
        <v>10</v>
      </c>
      <c r="D25" s="14" t="s">
        <v>51</v>
      </c>
      <c r="E25" s="13" t="s">
        <v>56</v>
      </c>
      <c r="F25" s="13" t="s">
        <v>31</v>
      </c>
      <c r="G25" s="13" t="s">
        <v>126</v>
      </c>
      <c r="H25" s="14" t="s">
        <v>127</v>
      </c>
    </row>
    <row r="26" customFormat="false" ht="15" hidden="false" customHeight="false" outlineLevel="0" collapsed="false">
      <c r="A26" s="15" t="s">
        <v>128</v>
      </c>
      <c r="B26" s="16" t="s">
        <v>129</v>
      </c>
      <c r="C26" s="15" t="s">
        <v>10</v>
      </c>
      <c r="D26" s="16" t="s">
        <v>77</v>
      </c>
      <c r="E26" s="15" t="s">
        <v>78</v>
      </c>
      <c r="F26" s="15" t="s">
        <v>31</v>
      </c>
      <c r="G26" s="15" t="s">
        <v>130</v>
      </c>
      <c r="H26" s="16" t="s">
        <v>131</v>
      </c>
    </row>
    <row r="27" customFormat="false" ht="15" hidden="false" customHeight="false" outlineLevel="0" collapsed="false">
      <c r="A27" s="11" t="s">
        <v>132</v>
      </c>
      <c r="B27" s="12" t="s">
        <v>133</v>
      </c>
      <c r="C27" s="11" t="s">
        <v>11</v>
      </c>
      <c r="D27" s="12" t="s">
        <v>29</v>
      </c>
      <c r="E27" s="11" t="s">
        <v>30</v>
      </c>
      <c r="F27" s="11" t="s">
        <v>31</v>
      </c>
      <c r="G27" s="11" t="s">
        <v>134</v>
      </c>
      <c r="H27" s="12" t="s">
        <v>135</v>
      </c>
    </row>
    <row r="28" customFormat="false" ht="15" hidden="false" customHeight="false" outlineLevel="0" collapsed="false">
      <c r="A28" s="11" t="s">
        <v>136</v>
      </c>
      <c r="B28" s="12" t="s">
        <v>137</v>
      </c>
      <c r="C28" s="11" t="s">
        <v>11</v>
      </c>
      <c r="D28" s="12" t="s">
        <v>29</v>
      </c>
      <c r="E28" s="11" t="s">
        <v>30</v>
      </c>
      <c r="F28" s="11" t="s">
        <v>31</v>
      </c>
      <c r="G28" s="11" t="s">
        <v>138</v>
      </c>
      <c r="H28" s="12" t="s">
        <v>139</v>
      </c>
    </row>
    <row r="29" customFormat="false" ht="15" hidden="false" customHeight="false" outlineLevel="0" collapsed="false">
      <c r="A29" s="11" t="s">
        <v>140</v>
      </c>
      <c r="B29" s="12" t="s">
        <v>141</v>
      </c>
      <c r="C29" s="11" t="s">
        <v>11</v>
      </c>
      <c r="D29" s="12" t="s">
        <v>29</v>
      </c>
      <c r="E29" s="11" t="s">
        <v>30</v>
      </c>
      <c r="F29" s="11" t="s">
        <v>31</v>
      </c>
      <c r="G29" s="11" t="s">
        <v>142</v>
      </c>
      <c r="H29" s="12" t="s">
        <v>143</v>
      </c>
    </row>
    <row r="30" customFormat="false" ht="15" hidden="false" customHeight="false" outlineLevel="0" collapsed="false">
      <c r="A30" s="13" t="s">
        <v>144</v>
      </c>
      <c r="B30" s="14" t="s">
        <v>145</v>
      </c>
      <c r="C30" s="13" t="s">
        <v>11</v>
      </c>
      <c r="D30" s="14" t="s">
        <v>51</v>
      </c>
      <c r="E30" s="13" t="s">
        <v>56</v>
      </c>
      <c r="F30" s="13" t="s">
        <v>31</v>
      </c>
      <c r="G30" s="13" t="s">
        <v>146</v>
      </c>
      <c r="H30" s="14" t="s">
        <v>147</v>
      </c>
    </row>
    <row r="31" customFormat="false" ht="15" hidden="false" customHeight="false" outlineLevel="0" collapsed="false">
      <c r="A31" s="13" t="s">
        <v>148</v>
      </c>
      <c r="B31" s="14" t="s">
        <v>149</v>
      </c>
      <c r="C31" s="13" t="s">
        <v>11</v>
      </c>
      <c r="D31" s="14" t="s">
        <v>51</v>
      </c>
      <c r="E31" s="13" t="s">
        <v>56</v>
      </c>
      <c r="F31" s="13" t="s">
        <v>31</v>
      </c>
      <c r="G31" s="13" t="s">
        <v>150</v>
      </c>
      <c r="H31" s="14" t="s">
        <v>151</v>
      </c>
    </row>
    <row r="32" customFormat="false" ht="15" hidden="false" customHeight="false" outlineLevel="0" collapsed="false">
      <c r="A32" s="13" t="s">
        <v>152</v>
      </c>
      <c r="B32" s="14" t="s">
        <v>153</v>
      </c>
      <c r="C32" s="13" t="s">
        <v>11</v>
      </c>
      <c r="D32" s="14" t="s">
        <v>51</v>
      </c>
      <c r="E32" s="13" t="s">
        <v>56</v>
      </c>
      <c r="F32" s="13" t="s">
        <v>31</v>
      </c>
      <c r="G32" s="13" t="s">
        <v>32</v>
      </c>
      <c r="H32" s="14" t="s">
        <v>154</v>
      </c>
    </row>
    <row r="33" customFormat="false" ht="15" hidden="false" customHeight="false" outlineLevel="0" collapsed="false">
      <c r="A33" s="15" t="s">
        <v>155</v>
      </c>
      <c r="B33" s="16" t="s">
        <v>156</v>
      </c>
      <c r="C33" s="15" t="s">
        <v>11</v>
      </c>
      <c r="D33" s="16" t="s">
        <v>77</v>
      </c>
      <c r="E33" s="15" t="s">
        <v>78</v>
      </c>
      <c r="F33" s="15" t="s">
        <v>31</v>
      </c>
      <c r="G33" s="15" t="s">
        <v>157</v>
      </c>
      <c r="H33" s="16" t="s">
        <v>158</v>
      </c>
    </row>
    <row r="34" customFormat="false" ht="15" hidden="false" customHeight="false" outlineLevel="0" collapsed="false">
      <c r="A34" s="15" t="s">
        <v>159</v>
      </c>
      <c r="B34" s="16" t="s">
        <v>160</v>
      </c>
      <c r="C34" s="15" t="s">
        <v>11</v>
      </c>
      <c r="D34" s="16" t="s">
        <v>77</v>
      </c>
      <c r="E34" s="15" t="s">
        <v>78</v>
      </c>
      <c r="F34" s="15" t="s">
        <v>31</v>
      </c>
      <c r="G34" s="15" t="s">
        <v>161</v>
      </c>
      <c r="H34" s="16" t="s">
        <v>162</v>
      </c>
    </row>
    <row r="35" customFormat="false" ht="15" hidden="false" customHeight="false" outlineLevel="0" collapsed="false">
      <c r="A35" s="11" t="s">
        <v>163</v>
      </c>
      <c r="B35" s="12" t="s">
        <v>164</v>
      </c>
      <c r="C35" s="11" t="s">
        <v>12</v>
      </c>
      <c r="D35" s="12" t="s">
        <v>29</v>
      </c>
      <c r="E35" s="11" t="s">
        <v>30</v>
      </c>
      <c r="F35" s="11" t="s">
        <v>31</v>
      </c>
      <c r="G35" s="11" t="s">
        <v>32</v>
      </c>
      <c r="H35" s="12" t="s">
        <v>165</v>
      </c>
    </row>
    <row r="36" customFormat="false" ht="15" hidden="false" customHeight="false" outlineLevel="0" collapsed="false">
      <c r="A36" s="13" t="s">
        <v>166</v>
      </c>
      <c r="B36" s="14" t="s">
        <v>167</v>
      </c>
      <c r="C36" s="13" t="s">
        <v>12</v>
      </c>
      <c r="D36" s="14" t="s">
        <v>51</v>
      </c>
      <c r="E36" s="13" t="s">
        <v>56</v>
      </c>
      <c r="F36" s="13" t="s">
        <v>31</v>
      </c>
      <c r="G36" s="13" t="s">
        <v>168</v>
      </c>
      <c r="H36" s="14" t="s">
        <v>169</v>
      </c>
    </row>
    <row r="37" customFormat="false" ht="15" hidden="false" customHeight="false" outlineLevel="0" collapsed="false">
      <c r="A37" s="13" t="s">
        <v>170</v>
      </c>
      <c r="B37" s="14" t="s">
        <v>171</v>
      </c>
      <c r="C37" s="13" t="s">
        <v>12</v>
      </c>
      <c r="D37" s="14" t="s">
        <v>51</v>
      </c>
      <c r="E37" s="13" t="s">
        <v>56</v>
      </c>
      <c r="F37" s="13" t="s">
        <v>31</v>
      </c>
      <c r="G37" s="13" t="s">
        <v>168</v>
      </c>
      <c r="H37" s="14" t="s">
        <v>172</v>
      </c>
    </row>
    <row r="38" customFormat="false" ht="15" hidden="false" customHeight="false" outlineLevel="0" collapsed="false">
      <c r="A38" s="15" t="s">
        <v>173</v>
      </c>
      <c r="B38" s="16" t="s">
        <v>174</v>
      </c>
      <c r="C38" s="15" t="s">
        <v>12</v>
      </c>
      <c r="D38" s="16" t="s">
        <v>77</v>
      </c>
      <c r="E38" s="15" t="s">
        <v>78</v>
      </c>
      <c r="F38" s="15" t="s">
        <v>31</v>
      </c>
      <c r="G38" s="15" t="s">
        <v>168</v>
      </c>
      <c r="H38" s="16" t="s">
        <v>175</v>
      </c>
    </row>
    <row r="39" customFormat="false" ht="15" hidden="false" customHeight="false" outlineLevel="0" collapsed="false">
      <c r="A39" s="15" t="s">
        <v>176</v>
      </c>
      <c r="B39" s="16" t="s">
        <v>177</v>
      </c>
      <c r="C39" s="15" t="s">
        <v>12</v>
      </c>
      <c r="D39" s="16" t="s">
        <v>77</v>
      </c>
      <c r="E39" s="15" t="s">
        <v>78</v>
      </c>
      <c r="F39" s="15" t="s">
        <v>31</v>
      </c>
      <c r="G39" s="15" t="s">
        <v>150</v>
      </c>
      <c r="H39" s="16" t="s">
        <v>178</v>
      </c>
    </row>
    <row r="40" customFormat="false" ht="15" hidden="false" customHeight="false" outlineLevel="0" collapsed="false">
      <c r="A40" s="13" t="s">
        <v>179</v>
      </c>
      <c r="B40" s="14" t="s">
        <v>180</v>
      </c>
      <c r="C40" s="13" t="s">
        <v>13</v>
      </c>
      <c r="D40" s="14" t="s">
        <v>51</v>
      </c>
      <c r="E40" s="13" t="s">
        <v>56</v>
      </c>
      <c r="F40" s="13" t="s">
        <v>31</v>
      </c>
      <c r="G40" s="13" t="s">
        <v>32</v>
      </c>
      <c r="H40" s="14" t="s">
        <v>181</v>
      </c>
    </row>
    <row r="41" customFormat="false" ht="15" hidden="false" customHeight="false" outlineLevel="0" collapsed="false">
      <c r="A41" s="13" t="s">
        <v>182</v>
      </c>
      <c r="B41" s="14" t="s">
        <v>183</v>
      </c>
      <c r="C41" s="13" t="s">
        <v>13</v>
      </c>
      <c r="D41" s="14" t="s">
        <v>51</v>
      </c>
      <c r="E41" s="13" t="s">
        <v>56</v>
      </c>
      <c r="F41" s="13" t="s">
        <v>31</v>
      </c>
      <c r="G41" s="13" t="s">
        <v>32</v>
      </c>
      <c r="H41" s="14" t="s">
        <v>184</v>
      </c>
    </row>
    <row r="42" customFormat="false" ht="15" hidden="false" customHeight="false" outlineLevel="0" collapsed="false">
      <c r="A42" s="15" t="s">
        <v>185</v>
      </c>
      <c r="B42" s="16" t="s">
        <v>186</v>
      </c>
      <c r="C42" s="15" t="s">
        <v>13</v>
      </c>
      <c r="D42" s="16" t="s">
        <v>77</v>
      </c>
      <c r="E42" s="15" t="s">
        <v>78</v>
      </c>
      <c r="F42" s="15" t="s">
        <v>31</v>
      </c>
      <c r="G42" s="15" t="s">
        <v>32</v>
      </c>
      <c r="H42" s="16" t="s">
        <v>187</v>
      </c>
    </row>
    <row r="43" customFormat="false" ht="15" hidden="false" customHeight="false" outlineLevel="0" collapsed="false">
      <c r="A43" s="13" t="s">
        <v>188</v>
      </c>
      <c r="B43" s="14" t="s">
        <v>189</v>
      </c>
      <c r="C43" s="13" t="s">
        <v>14</v>
      </c>
      <c r="D43" s="14" t="s">
        <v>51</v>
      </c>
      <c r="E43" s="13" t="s">
        <v>30</v>
      </c>
      <c r="F43" s="13" t="s">
        <v>31</v>
      </c>
      <c r="G43" s="13" t="s">
        <v>190</v>
      </c>
      <c r="H43" s="14" t="s">
        <v>191</v>
      </c>
    </row>
    <row r="44" customFormat="false" ht="15" hidden="false" customHeight="false" outlineLevel="0" collapsed="false">
      <c r="A44" s="13" t="s">
        <v>192</v>
      </c>
      <c r="B44" s="14" t="s">
        <v>193</v>
      </c>
      <c r="C44" s="13" t="s">
        <v>14</v>
      </c>
      <c r="D44" s="14" t="s">
        <v>51</v>
      </c>
      <c r="E44" s="13" t="s">
        <v>56</v>
      </c>
      <c r="F44" s="13" t="s">
        <v>31</v>
      </c>
      <c r="G44" s="13" t="s">
        <v>146</v>
      </c>
      <c r="H44" s="14" t="s">
        <v>194</v>
      </c>
    </row>
    <row r="45" customFormat="false" ht="15" hidden="false" customHeight="false" outlineLevel="0" collapsed="false">
      <c r="A45" s="13" t="s">
        <v>195</v>
      </c>
      <c r="B45" s="14" t="s">
        <v>196</v>
      </c>
      <c r="C45" s="13" t="s">
        <v>14</v>
      </c>
      <c r="D45" s="14" t="s">
        <v>51</v>
      </c>
      <c r="E45" s="13" t="s">
        <v>78</v>
      </c>
      <c r="F45" s="13" t="s">
        <v>31</v>
      </c>
      <c r="G45" s="13" t="s">
        <v>142</v>
      </c>
      <c r="H45" s="14" t="s">
        <v>197</v>
      </c>
    </row>
    <row r="46" customFormat="false" ht="15" hidden="false" customHeight="false" outlineLevel="0" collapsed="false">
      <c r="A46" s="15" t="s">
        <v>198</v>
      </c>
      <c r="B46" s="16" t="s">
        <v>199</v>
      </c>
      <c r="C46" s="15" t="s">
        <v>14</v>
      </c>
      <c r="D46" s="16" t="s">
        <v>77</v>
      </c>
      <c r="E46" s="15" t="s">
        <v>78</v>
      </c>
      <c r="F46" s="15" t="s">
        <v>31</v>
      </c>
      <c r="G46" s="15" t="s">
        <v>200</v>
      </c>
      <c r="H46" s="16" t="s">
        <v>201</v>
      </c>
    </row>
    <row r="47" customFormat="false" ht="15" hidden="false" customHeight="false" outlineLevel="0" collapsed="false">
      <c r="A47" s="15" t="s">
        <v>202</v>
      </c>
      <c r="B47" s="16" t="s">
        <v>203</v>
      </c>
      <c r="C47" s="15" t="s">
        <v>14</v>
      </c>
      <c r="D47" s="16" t="s">
        <v>77</v>
      </c>
      <c r="E47" s="15" t="s">
        <v>78</v>
      </c>
      <c r="F47" s="15" t="s">
        <v>31</v>
      </c>
      <c r="G47" s="15" t="s">
        <v>204</v>
      </c>
      <c r="H47" s="16" t="s">
        <v>205</v>
      </c>
    </row>
    <row r="48" customFormat="false" ht="15" hidden="false" customHeight="false" outlineLevel="0" collapsed="false">
      <c r="A48" s="15" t="s">
        <v>206</v>
      </c>
      <c r="B48" s="16" t="s">
        <v>207</v>
      </c>
      <c r="C48" s="15" t="s">
        <v>14</v>
      </c>
      <c r="D48" s="16" t="s">
        <v>77</v>
      </c>
      <c r="E48" s="15" t="s">
        <v>78</v>
      </c>
      <c r="F48" s="15" t="s">
        <v>31</v>
      </c>
      <c r="G48" s="15" t="s">
        <v>208</v>
      </c>
      <c r="H48" s="16" t="s">
        <v>209</v>
      </c>
    </row>
    <row r="49" customFormat="false" ht="15" hidden="false" customHeight="false" outlineLevel="0" collapsed="false">
      <c r="A49" s="15" t="s">
        <v>210</v>
      </c>
      <c r="B49" s="16" t="s">
        <v>211</v>
      </c>
      <c r="C49" s="15" t="s">
        <v>14</v>
      </c>
      <c r="D49" s="16" t="s">
        <v>77</v>
      </c>
      <c r="E49" s="15" t="s">
        <v>78</v>
      </c>
      <c r="F49" s="15" t="s">
        <v>31</v>
      </c>
      <c r="G49" s="15" t="s">
        <v>212</v>
      </c>
      <c r="H49" s="16" t="s">
        <v>213</v>
      </c>
    </row>
    <row r="50" customFormat="false" ht="15" hidden="false" customHeight="false" outlineLevel="0" collapsed="false">
      <c r="A50" s="13" t="s">
        <v>214</v>
      </c>
      <c r="B50" s="14" t="s">
        <v>215</v>
      </c>
      <c r="C50" s="13" t="s">
        <v>15</v>
      </c>
      <c r="D50" s="14" t="s">
        <v>51</v>
      </c>
      <c r="E50" s="13" t="s">
        <v>56</v>
      </c>
      <c r="F50" s="13" t="s">
        <v>31</v>
      </c>
      <c r="G50" s="13" t="s">
        <v>216</v>
      </c>
      <c r="H50" s="14" t="s">
        <v>217</v>
      </c>
    </row>
    <row r="51" customFormat="false" ht="15" hidden="false" customHeight="false" outlineLevel="0" collapsed="false">
      <c r="A51" s="15" t="s">
        <v>218</v>
      </c>
      <c r="B51" s="16" t="s">
        <v>219</v>
      </c>
      <c r="C51" s="15" t="s">
        <v>15</v>
      </c>
      <c r="D51" s="16" t="s">
        <v>77</v>
      </c>
      <c r="E51" s="15" t="s">
        <v>78</v>
      </c>
      <c r="F51" s="15" t="s">
        <v>31</v>
      </c>
      <c r="G51" s="15" t="s">
        <v>216</v>
      </c>
      <c r="H51" s="16" t="s">
        <v>220</v>
      </c>
    </row>
    <row r="52" customFormat="false" ht="15" hidden="false" customHeight="false" outlineLevel="0" collapsed="false">
      <c r="A52" s="15" t="s">
        <v>221</v>
      </c>
      <c r="B52" s="16" t="s">
        <v>222</v>
      </c>
      <c r="C52" s="15" t="s">
        <v>15</v>
      </c>
      <c r="D52" s="16" t="s">
        <v>77</v>
      </c>
      <c r="E52" s="15" t="s">
        <v>78</v>
      </c>
      <c r="F52" s="15" t="s">
        <v>31</v>
      </c>
      <c r="G52" s="15" t="s">
        <v>223</v>
      </c>
      <c r="H52" s="16" t="s">
        <v>224</v>
      </c>
    </row>
    <row r="53" customFormat="false" ht="15" hidden="false" customHeight="false" outlineLevel="0" collapsed="false">
      <c r="A53" s="15" t="s">
        <v>225</v>
      </c>
      <c r="B53" s="16" t="s">
        <v>226</v>
      </c>
      <c r="C53" s="15" t="s">
        <v>15</v>
      </c>
      <c r="D53" s="16" t="s">
        <v>77</v>
      </c>
      <c r="E53" s="15" t="s">
        <v>78</v>
      </c>
      <c r="F53" s="15" t="s">
        <v>31</v>
      </c>
      <c r="G53" s="15" t="s">
        <v>227</v>
      </c>
      <c r="H53" s="16" t="s">
        <v>228</v>
      </c>
    </row>
    <row r="54" customFormat="false" ht="15" hidden="false" customHeight="false" outlineLevel="0" collapsed="false">
      <c r="A54" s="13" t="s">
        <v>229</v>
      </c>
      <c r="B54" s="14" t="s">
        <v>230</v>
      </c>
      <c r="C54" s="13" t="s">
        <v>16</v>
      </c>
      <c r="D54" s="14" t="s">
        <v>51</v>
      </c>
      <c r="E54" s="13" t="s">
        <v>56</v>
      </c>
      <c r="F54" s="13" t="s">
        <v>31</v>
      </c>
      <c r="G54" s="13" t="s">
        <v>231</v>
      </c>
      <c r="H54" s="14" t="s">
        <v>232</v>
      </c>
    </row>
    <row r="55" customFormat="false" ht="15" hidden="false" customHeight="false" outlineLevel="0" collapsed="false">
      <c r="A55" s="13" t="s">
        <v>233</v>
      </c>
      <c r="B55" s="14" t="s">
        <v>234</v>
      </c>
      <c r="C55" s="13" t="s">
        <v>16</v>
      </c>
      <c r="D55" s="14" t="s">
        <v>51</v>
      </c>
      <c r="E55" s="13" t="s">
        <v>56</v>
      </c>
      <c r="F55" s="13" t="s">
        <v>31</v>
      </c>
      <c r="G55" s="13" t="s">
        <v>235</v>
      </c>
      <c r="H55" s="14" t="s">
        <v>236</v>
      </c>
    </row>
    <row r="56" customFormat="false" ht="15" hidden="false" customHeight="false" outlineLevel="0" collapsed="false">
      <c r="A56" s="15" t="s">
        <v>237</v>
      </c>
      <c r="B56" s="16" t="s">
        <v>238</v>
      </c>
      <c r="C56" s="15" t="s">
        <v>16</v>
      </c>
      <c r="D56" s="16" t="s">
        <v>77</v>
      </c>
      <c r="E56" s="15" t="s">
        <v>78</v>
      </c>
      <c r="F56" s="15" t="s">
        <v>31</v>
      </c>
      <c r="G56" s="15" t="s">
        <v>239</v>
      </c>
      <c r="H56" s="16" t="s">
        <v>240</v>
      </c>
    </row>
    <row r="57" customFormat="false" ht="15" hidden="false" customHeight="false" outlineLevel="0" collapsed="false">
      <c r="A57" s="15" t="s">
        <v>241</v>
      </c>
      <c r="B57" s="16" t="s">
        <v>242</v>
      </c>
      <c r="C57" s="15" t="s">
        <v>16</v>
      </c>
      <c r="D57" s="16" t="s">
        <v>77</v>
      </c>
      <c r="E57" s="15" t="s">
        <v>78</v>
      </c>
      <c r="F57" s="15" t="s">
        <v>31</v>
      </c>
      <c r="G57" s="15" t="s">
        <v>243</v>
      </c>
      <c r="H57" s="16" t="s">
        <v>244</v>
      </c>
    </row>
    <row r="58" customFormat="false" ht="15" hidden="false" customHeight="false" outlineLevel="0" collapsed="false">
      <c r="A58" s="13" t="s">
        <v>245</v>
      </c>
      <c r="B58" s="14" t="s">
        <v>246</v>
      </c>
      <c r="C58" s="13" t="s">
        <v>17</v>
      </c>
      <c r="D58" s="14" t="s">
        <v>51</v>
      </c>
      <c r="E58" s="13" t="s">
        <v>30</v>
      </c>
      <c r="F58" s="13" t="s">
        <v>31</v>
      </c>
      <c r="G58" s="13" t="s">
        <v>247</v>
      </c>
      <c r="H58" s="14" t="s">
        <v>248</v>
      </c>
    </row>
    <row r="59" customFormat="false" ht="15" hidden="false" customHeight="false" outlineLevel="0" collapsed="false">
      <c r="A59" s="15" t="s">
        <v>249</v>
      </c>
      <c r="B59" s="16" t="s">
        <v>250</v>
      </c>
      <c r="C59" s="15" t="s">
        <v>17</v>
      </c>
      <c r="D59" s="16" t="s">
        <v>77</v>
      </c>
      <c r="E59" s="15" t="s">
        <v>78</v>
      </c>
      <c r="F59" s="15" t="s">
        <v>31</v>
      </c>
      <c r="G59" s="15" t="s">
        <v>168</v>
      </c>
      <c r="H59" s="16" t="s">
        <v>251</v>
      </c>
    </row>
    <row r="60" customFormat="false" ht="15" hidden="false" customHeight="false" outlineLevel="0" collapsed="false">
      <c r="A60" s="13" t="s">
        <v>252</v>
      </c>
      <c r="B60" s="14" t="s">
        <v>253</v>
      </c>
      <c r="C60" s="13" t="s">
        <v>18</v>
      </c>
      <c r="D60" s="14" t="s">
        <v>51</v>
      </c>
      <c r="E60" s="13" t="s">
        <v>56</v>
      </c>
      <c r="F60" s="13" t="s">
        <v>31</v>
      </c>
      <c r="G60" s="13" t="s">
        <v>254</v>
      </c>
      <c r="H60" s="14" t="s">
        <v>255</v>
      </c>
    </row>
    <row r="61" customFormat="false" ht="15" hidden="false" customHeight="false" outlineLevel="0" collapsed="false">
      <c r="A61" s="13" t="s">
        <v>256</v>
      </c>
      <c r="B61" s="14" t="s">
        <v>257</v>
      </c>
      <c r="C61" s="13" t="s">
        <v>18</v>
      </c>
      <c r="D61" s="14" t="s">
        <v>51</v>
      </c>
      <c r="E61" s="13" t="s">
        <v>56</v>
      </c>
      <c r="F61" s="13" t="s">
        <v>31</v>
      </c>
      <c r="G61" s="13" t="s">
        <v>32</v>
      </c>
      <c r="H61" s="14" t="s">
        <v>258</v>
      </c>
    </row>
    <row r="62" customFormat="false" ht="15" hidden="false" customHeight="false" outlineLevel="0" collapsed="false">
      <c r="A62" s="15" t="s">
        <v>259</v>
      </c>
      <c r="B62" s="16" t="s">
        <v>260</v>
      </c>
      <c r="C62" s="15" t="s">
        <v>18</v>
      </c>
      <c r="D62" s="16" t="s">
        <v>77</v>
      </c>
      <c r="E62" s="15" t="s">
        <v>78</v>
      </c>
      <c r="F62" s="15" t="s">
        <v>31</v>
      </c>
      <c r="G62" s="15" t="s">
        <v>261</v>
      </c>
      <c r="H62" s="16" t="s">
        <v>262</v>
      </c>
    </row>
  </sheetData>
  <autoFilter ref="A1:H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7" t="s">
        <v>263</v>
      </c>
      <c r="B1" s="17"/>
      <c r="C1" s="17"/>
      <c r="D1" s="17"/>
      <c r="E1" s="17"/>
    </row>
    <row r="3" customFormat="false" ht="15" hidden="false" customHeight="false" outlineLevel="0" collapsed="false">
      <c r="A3" s="18" t="s">
        <v>264</v>
      </c>
      <c r="B3" s="18"/>
      <c r="C3" s="18"/>
      <c r="D3" s="19" t="s">
        <v>265</v>
      </c>
      <c r="E3" s="20"/>
    </row>
    <row r="4" customFormat="false" ht="15" hidden="false" customHeight="true" outlineLevel="0" collapsed="false">
      <c r="A4" s="21" t="s">
        <v>266</v>
      </c>
      <c r="B4" s="22" t="s">
        <v>267</v>
      </c>
      <c r="C4" s="22"/>
      <c r="D4" s="22"/>
      <c r="E4" s="22"/>
    </row>
    <row r="5" customFormat="false" ht="15" hidden="false" customHeight="true" outlineLevel="0" collapsed="false">
      <c r="A5" s="21" t="s">
        <v>266</v>
      </c>
      <c r="B5" s="22" t="s">
        <v>268</v>
      </c>
      <c r="C5" s="22"/>
      <c r="D5" s="22"/>
      <c r="E5" s="22"/>
    </row>
    <row r="6" customFormat="false" ht="15" hidden="false" customHeight="true" outlineLevel="0" collapsed="false">
      <c r="A6" s="21" t="s">
        <v>266</v>
      </c>
      <c r="B6" s="22" t="s">
        <v>269</v>
      </c>
      <c r="C6" s="22"/>
      <c r="D6" s="22"/>
      <c r="E6" s="22"/>
    </row>
    <row r="7" customFormat="false" ht="15" hidden="false" customHeight="true" outlineLevel="0" collapsed="false">
      <c r="A7" s="21" t="s">
        <v>266</v>
      </c>
      <c r="B7" s="22" t="s">
        <v>270</v>
      </c>
      <c r="C7" s="22"/>
      <c r="D7" s="22"/>
      <c r="E7" s="22"/>
    </row>
    <row r="8" customFormat="false" ht="15" hidden="false" customHeight="true" outlineLevel="0" collapsed="false">
      <c r="A8" s="21" t="s">
        <v>266</v>
      </c>
      <c r="B8" s="22" t="s">
        <v>271</v>
      </c>
      <c r="C8" s="22"/>
      <c r="D8" s="22"/>
      <c r="E8" s="22"/>
    </row>
    <row r="9" customFormat="false" ht="15" hidden="false" customHeight="true" outlineLevel="0" collapsed="false">
      <c r="A9" s="21" t="s">
        <v>266</v>
      </c>
      <c r="B9" s="22" t="s">
        <v>272</v>
      </c>
      <c r="C9" s="22"/>
      <c r="D9" s="22"/>
      <c r="E9" s="22"/>
    </row>
    <row r="10" customFormat="false" ht="15" hidden="false" customHeight="true" outlineLevel="0" collapsed="false">
      <c r="A10" s="21" t="s">
        <v>266</v>
      </c>
      <c r="B10" s="22" t="s">
        <v>273</v>
      </c>
      <c r="C10" s="22"/>
      <c r="D10" s="22"/>
      <c r="E10" s="22"/>
    </row>
    <row r="11" customFormat="false" ht="15" hidden="false" customHeight="true" outlineLevel="0" collapsed="false">
      <c r="A11" s="21" t="s">
        <v>266</v>
      </c>
      <c r="B11" s="22" t="s">
        <v>274</v>
      </c>
      <c r="C11" s="22"/>
      <c r="D11" s="22"/>
      <c r="E11" s="22"/>
    </row>
    <row r="13" customFormat="false" ht="15" hidden="false" customHeight="false" outlineLevel="0" collapsed="false">
      <c r="A13" s="18" t="s">
        <v>275</v>
      </c>
      <c r="B13" s="18"/>
      <c r="C13" s="18"/>
      <c r="D13" s="19" t="s">
        <v>276</v>
      </c>
      <c r="E13" s="20"/>
    </row>
    <row r="14" customFormat="false" ht="15" hidden="false" customHeight="true" outlineLevel="0" collapsed="false">
      <c r="A14" s="21" t="s">
        <v>266</v>
      </c>
      <c r="B14" s="22" t="s">
        <v>277</v>
      </c>
      <c r="C14" s="22"/>
      <c r="D14" s="22"/>
      <c r="E14" s="22"/>
    </row>
    <row r="15" customFormat="false" ht="15" hidden="false" customHeight="true" outlineLevel="0" collapsed="false">
      <c r="A15" s="21" t="s">
        <v>266</v>
      </c>
      <c r="B15" s="22" t="s">
        <v>278</v>
      </c>
      <c r="C15" s="22"/>
      <c r="D15" s="22"/>
      <c r="E15" s="22"/>
    </row>
    <row r="16" customFormat="false" ht="15" hidden="false" customHeight="true" outlineLevel="0" collapsed="false">
      <c r="A16" s="21" t="s">
        <v>266</v>
      </c>
      <c r="B16" s="22" t="s">
        <v>279</v>
      </c>
      <c r="C16" s="22"/>
      <c r="D16" s="22"/>
      <c r="E16" s="22"/>
    </row>
    <row r="17" customFormat="false" ht="15" hidden="false" customHeight="true" outlineLevel="0" collapsed="false">
      <c r="A17" s="21" t="s">
        <v>266</v>
      </c>
      <c r="B17" s="22" t="s">
        <v>280</v>
      </c>
      <c r="C17" s="22"/>
      <c r="D17" s="22"/>
      <c r="E17" s="22"/>
    </row>
    <row r="18" customFormat="false" ht="15" hidden="false" customHeight="true" outlineLevel="0" collapsed="false">
      <c r="A18" s="21" t="s">
        <v>266</v>
      </c>
      <c r="B18" s="22" t="s">
        <v>281</v>
      </c>
      <c r="C18" s="22"/>
      <c r="D18" s="22"/>
      <c r="E18" s="22"/>
    </row>
    <row r="19" customFormat="false" ht="15" hidden="false" customHeight="true" outlineLevel="0" collapsed="false">
      <c r="A19" s="21" t="s">
        <v>266</v>
      </c>
      <c r="B19" s="22" t="s">
        <v>282</v>
      </c>
      <c r="C19" s="22"/>
      <c r="D19" s="22"/>
      <c r="E19" s="22"/>
    </row>
    <row r="20" customFormat="false" ht="15" hidden="false" customHeight="true" outlineLevel="0" collapsed="false">
      <c r="A20" s="21" t="s">
        <v>266</v>
      </c>
      <c r="B20" s="22" t="s">
        <v>283</v>
      </c>
      <c r="C20" s="22"/>
      <c r="D20" s="22"/>
      <c r="E20" s="22"/>
    </row>
    <row r="21" customFormat="false" ht="15" hidden="false" customHeight="true" outlineLevel="0" collapsed="false">
      <c r="A21" s="21" t="s">
        <v>266</v>
      </c>
      <c r="B21" s="22" t="s">
        <v>284</v>
      </c>
      <c r="C21" s="22"/>
      <c r="D21" s="22"/>
      <c r="E21" s="22"/>
    </row>
    <row r="22" customFormat="false" ht="15" hidden="false" customHeight="true" outlineLevel="0" collapsed="false">
      <c r="A22" s="21" t="s">
        <v>266</v>
      </c>
      <c r="B22" s="22" t="s">
        <v>285</v>
      </c>
      <c r="C22" s="22"/>
      <c r="D22" s="22"/>
      <c r="E22" s="22"/>
    </row>
    <row r="23" customFormat="false" ht="15" hidden="false" customHeight="true" outlineLevel="0" collapsed="false">
      <c r="A23" s="21" t="s">
        <v>266</v>
      </c>
      <c r="B23" s="22" t="s">
        <v>286</v>
      </c>
      <c r="C23" s="22"/>
      <c r="D23" s="22"/>
      <c r="E23" s="22"/>
    </row>
    <row r="24" customFormat="false" ht="15" hidden="false" customHeight="true" outlineLevel="0" collapsed="false">
      <c r="A24" s="21" t="s">
        <v>266</v>
      </c>
      <c r="B24" s="22" t="s">
        <v>287</v>
      </c>
      <c r="C24" s="22"/>
      <c r="D24" s="22"/>
      <c r="E24" s="22"/>
    </row>
    <row r="26" customFormat="false" ht="15" hidden="false" customHeight="false" outlineLevel="0" collapsed="false">
      <c r="A26" s="18" t="s">
        <v>288</v>
      </c>
      <c r="B26" s="18"/>
      <c r="C26" s="18"/>
      <c r="D26" s="19" t="s">
        <v>289</v>
      </c>
      <c r="E26" s="20"/>
    </row>
    <row r="27" customFormat="false" ht="15" hidden="false" customHeight="true" outlineLevel="0" collapsed="false">
      <c r="A27" s="21" t="s">
        <v>266</v>
      </c>
      <c r="B27" s="22" t="s">
        <v>290</v>
      </c>
      <c r="C27" s="22"/>
      <c r="D27" s="22"/>
      <c r="E27" s="22"/>
    </row>
    <row r="28" customFormat="false" ht="15" hidden="false" customHeight="true" outlineLevel="0" collapsed="false">
      <c r="A28" s="21" t="s">
        <v>266</v>
      </c>
      <c r="B28" s="22" t="s">
        <v>291</v>
      </c>
      <c r="C28" s="22"/>
      <c r="D28" s="22"/>
      <c r="E28" s="22"/>
    </row>
    <row r="29" customFormat="false" ht="15" hidden="false" customHeight="true" outlineLevel="0" collapsed="false">
      <c r="A29" s="21" t="s">
        <v>266</v>
      </c>
      <c r="B29" s="22" t="s">
        <v>292</v>
      </c>
      <c r="C29" s="22"/>
      <c r="D29" s="22"/>
      <c r="E29" s="22"/>
    </row>
    <row r="30" customFormat="false" ht="15" hidden="false" customHeight="true" outlineLevel="0" collapsed="false">
      <c r="A30" s="21" t="s">
        <v>266</v>
      </c>
      <c r="B30" s="22" t="s">
        <v>293</v>
      </c>
      <c r="C30" s="22"/>
      <c r="D30" s="22"/>
      <c r="E30" s="22"/>
    </row>
    <row r="31" customFormat="false" ht="15" hidden="false" customHeight="true" outlineLevel="0" collapsed="false">
      <c r="A31" s="21" t="s">
        <v>266</v>
      </c>
      <c r="B31" s="22" t="s">
        <v>294</v>
      </c>
      <c r="C31" s="22"/>
      <c r="D31" s="22"/>
      <c r="E31" s="22"/>
    </row>
    <row r="32" customFormat="false" ht="15" hidden="false" customHeight="true" outlineLevel="0" collapsed="false">
      <c r="A32" s="21" t="s">
        <v>266</v>
      </c>
      <c r="B32" s="22" t="s">
        <v>295</v>
      </c>
      <c r="C32" s="22"/>
      <c r="D32" s="22"/>
      <c r="E32" s="22"/>
    </row>
    <row r="33" customFormat="false" ht="15" hidden="false" customHeight="true" outlineLevel="0" collapsed="false">
      <c r="A33" s="21" t="s">
        <v>266</v>
      </c>
      <c r="B33" s="22" t="s">
        <v>296</v>
      </c>
      <c r="C33" s="22"/>
      <c r="D33" s="22"/>
      <c r="E33" s="22"/>
    </row>
    <row r="34" customFormat="false" ht="15" hidden="false" customHeight="true" outlineLevel="0" collapsed="false">
      <c r="A34" s="21" t="s">
        <v>266</v>
      </c>
      <c r="B34" s="22" t="s">
        <v>297</v>
      </c>
      <c r="C34" s="22"/>
      <c r="D34" s="22"/>
      <c r="E34" s="22"/>
    </row>
    <row r="35" customFormat="false" ht="15" hidden="false" customHeight="true" outlineLevel="0" collapsed="false">
      <c r="A35" s="21" t="s">
        <v>266</v>
      </c>
      <c r="B35" s="22" t="s">
        <v>298</v>
      </c>
      <c r="C35" s="22"/>
      <c r="D35" s="22"/>
      <c r="E35" s="22"/>
    </row>
    <row r="36" customFormat="false" ht="15" hidden="false" customHeight="true" outlineLevel="0" collapsed="false">
      <c r="A36" s="21" t="s">
        <v>266</v>
      </c>
      <c r="B36" s="22" t="s">
        <v>299</v>
      </c>
      <c r="C36" s="22"/>
      <c r="D36" s="22"/>
      <c r="E36" s="22"/>
    </row>
    <row r="37" customFormat="false" ht="15" hidden="false" customHeight="true" outlineLevel="0" collapsed="false">
      <c r="A37" s="21" t="s">
        <v>266</v>
      </c>
      <c r="B37" s="22" t="s">
        <v>300</v>
      </c>
      <c r="C37" s="22"/>
      <c r="D37" s="22"/>
      <c r="E37" s="22"/>
    </row>
    <row r="38" customFormat="false" ht="15" hidden="false" customHeight="true" outlineLevel="0" collapsed="false">
      <c r="A38" s="21" t="s">
        <v>266</v>
      </c>
      <c r="B38" s="22" t="s">
        <v>301</v>
      </c>
      <c r="C38" s="22"/>
      <c r="D38" s="22"/>
      <c r="E38" s="22"/>
    </row>
    <row r="39" customFormat="false" ht="15" hidden="false" customHeight="true" outlineLevel="0" collapsed="false">
      <c r="A39" s="21" t="s">
        <v>266</v>
      </c>
      <c r="B39" s="22" t="s">
        <v>302</v>
      </c>
      <c r="C39" s="22"/>
      <c r="D39" s="22"/>
      <c r="E39" s="22"/>
    </row>
  </sheetData>
  <mergeCells count="36">
    <mergeCell ref="A1:E1"/>
    <mergeCell ref="A3:C3"/>
    <mergeCell ref="B4:E4"/>
    <mergeCell ref="B5:E5"/>
    <mergeCell ref="B6:E6"/>
    <mergeCell ref="B7:E7"/>
    <mergeCell ref="B8:E8"/>
    <mergeCell ref="B9:E9"/>
    <mergeCell ref="B10:E10"/>
    <mergeCell ref="B11:E11"/>
    <mergeCell ref="A13:C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A26:C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2026-04-12T08:46:21Z</dcterms:created>
  <dc:creator>openpyxl</dc:creator>
  <dc:description/>
  <dc:language>en-US</dc:language>
  <cp:lastModifiedBy/>
  <dcterms:modified xsi:type="dcterms:W3CDTF">2026-04-12T08:46:21Z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